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a3e338887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示测算" sheetId="1" r:id="Rccad9ec3dc6c48d9"/>
    <x:sheet xmlns:r="http://schemas.openxmlformats.org/officeDocument/2006/relationships" name="市场锚点" sheetId="2" r:id="Rb1967514261c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;($#,##0);&quot;-&quot;"/>
    <x:numFmt numFmtId="201" formatCode="#,##0.0;(#,##0.0);&quot;-&quot;"/>
    <x:numFmt numFmtId="202" formatCode="#,##0;(#,##0);&quot;-&quot;"/>
    <x:numFmt numFmtId="203" formatCode="0.0%"/>
    <x:numFmt numFmtId="204" formatCode="#,##0"/>
    <x:numFmt numFmtId="205" formatCode="0.00"/>
    <x:numFmt numFmtId="206" formatCode="#,##0.0"/>
  </x:numFmts>
  <x:fonts count="8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b/>
      <x:sz val="11"/>
      <x:color rgb="FFFFFFFF"/>
      <x:name val="Arial"/>
    </x:font>
    <x:font>
      <x:b/>
      <x:sz val="11"/>
      <x:color rgb="FF203B55"/>
      <x:name val="Arial"/>
    </x:font>
    <x:font>
      <x:sz val="11"/>
      <x:color rgb="FF0000FF"/>
      <x:name val="Arial"/>
    </x:font>
    <x:font>
      <x:sz val="10"/>
      <x:color rgb="FF486174"/>
      <x:name val="Arial"/>
    </x:font>
    <x:font>
      <x:sz val="10"/>
      <x:color rgb="FF48617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5"/>
      </x:patternFill>
    </x:fill>
    <x:fill>
      <x:patternFill patternType="solid">
        <x:fgColor rgb="FFEAF0F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8ebc7ae754e63" /><Relationship Type="http://schemas.openxmlformats.org/officeDocument/2006/relationships/theme" Target="/xl/theme/theme1.xml" Id="R9feda81dc8ed42c9" /><Relationship Type="http://schemas.openxmlformats.org/officeDocument/2006/relationships/sharedStrings" Target="/xl/sharedStrings.xml" Id="R1c43fc0535e348c2" /><Relationship Type="http://schemas.openxmlformats.org/officeDocument/2006/relationships/worksheet" Target="/xl/worksheets/sheet1.xml" Id="Rccad9ec3dc6c48d9" /><Relationship Type="http://schemas.openxmlformats.org/officeDocument/2006/relationships/worksheet" Target="/xl/worksheets/sheet2.xml" Id="Rb1967514261c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12" hidden="0" customWidth="1"/>
    <x:col min="4" max="4" width="3" hidden="0" customWidth="1"/>
    <x:col min="5" max="5" width="70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数据中心交换ASIC测算演示</x:v>
      </x:c>
      <x:c r="B2" s="2"/>
      <x:c r="C2" s="2"/>
      <x:c r="D2" s="2"/>
      <x:c r="E2" s="2"/>
    </x:row>
    <x:row r="3" ht="24" customHeight="1">
      <x:c r="A3" s="2" t="str">
        <x:v>所有商业输入均为演示假设，不是市场预测或Marvell报价。</x:v>
      </x:c>
      <x:c r="B3" s="2"/>
      <x:c r="C3" s="2"/>
      <x:c r="D3" s="2"/>
      <x:c r="E3" s="2" t="str">
        <x:v>蓝字浅黄底可修改；黑字为公式；同一分组使用同一BOM。</x:v>
      </x:c>
    </x:row>
    <x:row r="4" ht="24" customHeight="1">
      <x:c r="A4" s="2" t="str">
        <x:v>范围为选定的同构以太网分组。年度由用户研究口径确定。</x:v>
      </x:c>
      <x:c r="B4" s="2"/>
      <x:c r="C4" s="2"/>
      <x:c r="D4" s="2"/>
      <x:c r="E4" s="2"/>
    </x:row>
    <x:row r="5" ht="28" customHeight="1">
      <x:c r="A5" s="5" t="str">
        <x:v>主要结果</x:v>
      </x:c>
      <x:c r="B5" s="5" t="str">
        <x:v>演示结果</x:v>
      </x:c>
      <x:c r="C5" s="5" t="str">
        <x:v>单位</x:v>
      </x:c>
      <x:c r="D5" s="2"/>
      <x:c r="E5" s="2"/>
    </x:row>
    <x:row r="6" ht="24" customHeight="1">
      <x:c r="A6" s="6" t="str">
        <x:v>单架构单元主交换ASIC</x:v>
      </x:c>
      <x:c r="B6" s="7" t="n">
        <x:f>B37</x:f>
        <x:v>96</x:v>
      </x:c>
      <x:c r="C6" s="6" t="str">
        <x:v>颗</x:v>
      </x:c>
      <x:c r="D6" s="2"/>
      <x:c r="E6" s="2" t="str">
        <x:v>单元含全部平面；不含NIC、DSP、NVSwitch。</x:v>
      </x:c>
    </x:row>
    <x:row r="7" ht="24" customHeight="1">
      <x:c r="A7" s="6" t="str">
        <x:v>年度分组merchant TAM</x:v>
      </x:c>
      <x:c r="B7" s="8" t="n">
        <x:f>B39</x:f>
        <x:v>26880000</x:v>
      </x:c>
      <x:c r="C7" s="6" t="str">
        <x:v>美元</x:v>
      </x:c>
      <x:c r="D7" s="2"/>
      <x:c r="E7" s="2" t="str">
        <x:v>仅是输入指定分组的外部销售价值，不是全球市场。</x:v>
      </x:c>
    </x:row>
    <x:row r="8" ht="24" customHeight="1">
      <x:c r="A8" s="6" t="str">
        <x:v>Marvell可服务市场SAM</x:v>
      </x:c>
      <x:c r="B8" s="8" t="n">
        <x:f>B40</x:f>
        <x:v>16128000</x:v>
      </x:c>
      <x:c r="C8" s="6" t="str">
        <x:v>美元</x:v>
      </x:c>
      <x:c r="D8" s="2"/>
      <x:c r="E8" s="2" t="str">
        <x:v>演示技术覆盖比例；不等于实际订单。</x:v>
      </x:c>
    </x:row>
    <x:row r="9" ht="24" customHeight="1">
      <x:c r="A9" s="6" t="str">
        <x:v>可争取收入演示</x:v>
      </x:c>
      <x:c r="B9" s="8" t="n">
        <x:f>B41</x:f>
        <x:v>3225600</x:v>
      </x:c>
      <x:c r="C9" s="6" t="str">
        <x:v>美元</x:v>
      </x:c>
      <x:c r="D9" s="2"/>
      <x:c r="E9" s="2" t="str">
        <x:v>需要客户定点和爬坡证据后才能用于预测。</x:v>
      </x:c>
    </x:row>
    <x:row r="10" ht="24" customHeight="1">
      <x:c r="A10" s="2"/>
      <x:c r="B10" s="2"/>
      <x:c r="C10" s="2"/>
      <x:c r="D10" s="2"/>
      <x:c r="E10" s="2"/>
    </x:row>
    <x:row r="11" ht="24" customHeight="1">
      <x:c r="A11" s="2" t="str">
        <x:v>默认拓扑为每Leaf连每Spine一条链路的两层网络。</x:v>
      </x:c>
      <x:c r="B11" s="2"/>
      <x:c r="C11" s="2"/>
      <x:c r="D11" s="2"/>
      <x:c r="E11" s="2"/>
    </x:row>
    <x:row r="12" ht="24" customHeight="1">
      <x:c r="A12" s="2" t="str">
        <x:v>默认2048端点，64台Leaf，32台Spine，96颗ASIC。</x:v>
      </x:c>
      <x:c r="B12" s="2"/>
      <x:c r="C12" s="2"/>
      <x:c r="D12" s="2"/>
      <x:c r="E12" s="2"/>
    </x:row>
    <x:row r="13" ht="28" customHeight="1">
      <x:c r="A13" s="5" t="str">
        <x:v>输入参数</x:v>
      </x:c>
      <x:c r="B13" s="5" t="str">
        <x:v>可修改值</x:v>
      </x:c>
      <x:c r="C13" s="5" t="str">
        <x:v>单位</x:v>
      </x:c>
      <x:c r="D13" s="2"/>
      <x:c r="E13" s="2" t="str">
        <x:v>定义与来源</x:v>
      </x:c>
    </x:row>
    <x:row r="14" ht="24" customHeight="1">
      <x:c r="A14" s="2" t="str">
        <x:v>每单元端点数</x:v>
      </x:c>
      <x:c r="B14" s="12" t="n">
        <x:v>2048</x:v>
      </x:c>
      <x:c r="C14" s="2" t="str">
        <x:v>个</x:v>
      </x:c>
      <x:c r="D14" s="2"/>
      <x:c r="E14" s="2" t="str">
        <x:v>演示；每端点在每平面有一条完整连接。</x:v>
      </x:c>
    </x:row>
    <x:row r="15" ht="24" customHeight="1">
      <x:c r="A15" s="2" t="str">
        <x:v>每Leaf下联端口</x:v>
      </x:c>
      <x:c r="B15" s="12" t="n">
        <x:v>32</x:v>
      </x:c>
      <x:c r="C15" s="2" t="str">
        <x:v>个</x:v>
      </x:c>
      <x:c r="D15" s="2"/>
      <x:c r="E15" s="2" t="str">
        <x:v>演示；下联与上联采用相同速率。</x:v>
      </x:c>
    </x:row>
    <x:row r="16" ht="24" customHeight="1">
      <x:c r="A16" s="2" t="str">
        <x:v>每Leaf上联端口</x:v>
      </x:c>
      <x:c r="B16" s="12" t="n">
        <x:v>32</x:v>
      </x:c>
      <x:c r="C16" s="2" t="str">
        <x:v>个</x:v>
      </x:c>
      <x:c r="D16" s="2"/>
      <x:c r="E16" s="2" t="str">
        <x:v>演示；每Leaf连每Spine一条，故Spine数等于上联数。</x:v>
      </x:c>
    </x:row>
    <x:row r="17" ht="24" customHeight="1">
      <x:c r="A17" s="2" t="str">
        <x:v>每台交换机可用端口</x:v>
      </x:c>
      <x:c r="B17" s="12" t="n">
        <x:v>64</x:v>
      </x:c>
      <x:c r="C17" s="2" t="str">
        <x:v>个</x:v>
      </x:c>
      <x:c r="D17" s="2"/>
      <x:c r="E17" s="2" t="str">
        <x:v>演示；Leaf/Spine相同端口基数。</x:v>
      </x:c>
    </x:row>
    <x:row r="18" ht="24" customHeight="1">
      <x:c r="A18" s="2" t="str">
        <x:v>每端口单向速率</x:v>
      </x:c>
      <x:c r="B18" s="12" t="n">
        <x:v>800</x:v>
      </x:c>
      <x:c r="C18" s="2" t="str">
        <x:v>Gb/s</x:v>
      </x:c>
      <x:c r="D18" s="2"/>
      <x:c r="E18" s="2" t="str">
        <x:v>演示；与ASIC容量统一单方向口径，不重复乘二。</x:v>
      </x:c>
    </x:row>
    <x:row r="19" ht="24" customHeight="1">
      <x:c r="A19" s="2" t="str">
        <x:v>完整独立网络平面</x:v>
      </x:c>
      <x:c r="B19" s="12" t="n">
        <x:v>1</x:v>
      </x:c>
      <x:c r="C19" s="2" t="str">
        <x:v>个</x:v>
      </x:c>
      <x:c r="D19" s="2"/>
      <x:c r="E19" s="2" t="str">
        <x:v>演示；不是拆分同一总带宽的平面数。</x:v>
      </x:c>
    </x:row>
    <x:row r="20" ht="24" customHeight="1">
      <x:c r="A20" s="2" t="str">
        <x:v>每台主交换ASIC</x:v>
      </x:c>
      <x:c r="B20" s="12" t="n">
        <x:v>1</x:v>
      </x:c>
      <x:c r="C20" s="2" t="str">
        <x:v>颗</x:v>
      </x:c>
      <x:c r="D20" s="2"/>
      <x:c r="E20" s="2" t="str">
        <x:v>演示；实际需要按SKU核对BOM。</x:v>
      </x:c>
    </x:row>
    <x:row r="21" ht="24" customHeight="1">
      <x:c r="A21" s="2" t="str">
        <x:v>每ASIC净ASP</x:v>
      </x:c>
      <x:c r="B21" s="12" t="n">
        <x:v>4000</x:v>
      </x:c>
      <x:c r="C21" s="2" t="str">
        <x:v>美元</x:v>
      </x:c>
      <x:c r="D21" s="2"/>
      <x:c r="E21" s="2" t="str">
        <x:v>演示假设；不是Marvell产品报价。</x:v>
      </x:c>
    </x:row>
    <x:row r="22" ht="24" customHeight="1">
      <x:c r="A22" s="2" t="str">
        <x:v>年度同构架构单元</x:v>
      </x:c>
      <x:c r="B22" s="12" t="n">
        <x:v>100</x:v>
      </x:c>
      <x:c r="C22" s="2" t="str">
        <x:v>个</x:v>
      </x:c>
      <x:c r="D22" s="2"/>
      <x:c r="E22" s="2" t="str">
        <x:v>演示；已完成以太网与架构筛选，不再乘Ethernet比例。</x:v>
      </x:c>
    </x:row>
    <x:row r="23" ht="24" customHeight="1">
      <x:c r="A23" s="2" t="str">
        <x:v>merchant芯片数量比例</x:v>
      </x:c>
      <x:c r="B23" s="13" t="n">
        <x:v>0.7</x:v>
      </x:c>
      <x:c r="C23" s="2" t="str">
        <x:v>比例</x:v>
      </x:c>
      <x:c r="D23" s="2"/>
      <x:c r="E23" s="2" t="str">
        <x:v>演示；内部自用芯片排除。同构/同价是简化假设。</x:v>
      </x:c>
    </x:row>
    <x:row r="24" ht="24" customHeight="1">
      <x:c r="A24" s="2" t="str">
        <x:v>SAM技术覆盖比例</x:v>
      </x:c>
      <x:c r="B24" s="13" t="n">
        <x:v>0.6</x:v>
      </x:c>
      <x:c r="C24" s="2" t="str">
        <x:v>比例</x:v>
      </x:c>
      <x:c r="D24" s="2"/>
      <x:c r="E24" s="2" t="str">
        <x:v>演示；协议、性能、地域和上市时间筛选后的比例。</x:v>
      </x:c>
    </x:row>
    <x:row r="25" ht="24" customHeight="1">
      <x:c r="A25" s="2" t="str">
        <x:v>SAM内可争取比例</x:v>
      </x:c>
      <x:c r="B25" s="13" t="n">
        <x:v>0.2</x:v>
      </x:c>
      <x:c r="C25" s="2" t="str">
        <x:v>比例</x:v>
      </x:c>
      <x:c r="D25" s="2"/>
      <x:c r="E25" s="2" t="str">
        <x:v>演示；定点、竞争和爬坡共同决定，待访谈。</x:v>
      </x:c>
    </x:row>
    <x:row r="26" ht="24" customHeight="1">
      <x:c r="A26" s="2" t="str">
        <x:v>新增采购备件比例</x:v>
      </x:c>
      <x:c r="B26" s="13" t="n">
        <x:v>0</x:v>
      </x:c>
      <x:c r="C26" s="2" t="str">
        <x:v>比例</x:v>
      </x:c>
      <x:c r="D26" s="2"/>
      <x:c r="E26" s="2" t="str">
        <x:v>演示；只算额外采购，不包括重复的既有库存。</x:v>
      </x:c>
    </x:row>
    <x:row r="27" ht="24" customHeight="1">
      <x:c r="A27" s="2" t="str">
        <x:v>服务器链路光化比例</x:v>
      </x:c>
      <x:c r="B27" s="13" t="n">
        <x:v>1</x:v>
      </x:c>
      <x:c r="C27" s="2" t="str">
        <x:v>比例</x:v>
      </x:c>
      <x:c r="D27" s="2"/>
      <x:c r="E27" s="2" t="str">
        <x:v>演示；每条光链路两端各一只可插拔模块。</x:v>
      </x:c>
    </x:row>
    <x:row r="28" ht="24" customHeight="1">
      <x:c r="A28" s="2" t="str">
        <x:v>Leaf与Spine链路光化比例</x:v>
      </x:c>
      <x:c r="B28" s="13" t="n">
        <x:v>1</x:v>
      </x:c>
      <x:c r="C28" s="2" t="str">
        <x:v>比例</x:v>
      </x:c>
      <x:c r="D28" s="2"/>
      <x:c r="E28" s="2" t="str">
        <x:v>演示；不适用于CPO/AOC及不同breakout配置。</x:v>
      </x:c>
    </x:row>
    <x:row r="29" ht="24" customHeight="1">
      <x:c r="A29" s="2" t="str">
        <x:v>每光模块DSP颗数</x:v>
      </x:c>
      <x:c r="B29" s="12" t="n">
        <x:v>1</x:v>
      </x:c>
      <x:c r="C29" s="2" t="str">
        <x:v>颗</x:v>
      </x:c>
      <x:c r="D29" s="2"/>
      <x:c r="E29" s="2" t="str">
        <x:v>演示；实际按模块设计，不能固定推广到所有产品。</x:v>
      </x:c>
    </x:row>
    <x:row r="30" ht="24" customHeight="1">
      <x:c r="A30" s="2" t="str">
        <x:v>光模块独立DSP附着率</x:v>
      </x:c>
      <x:c r="B30" s="13" t="n">
        <x:v>1</x:v>
      </x:c>
      <x:c r="C30" s="2" t="str">
        <x:v>比例</x:v>
      </x:c>
      <x:c r="D30" s="2"/>
      <x:c r="E30" s="2" t="str">
        <x:v>演示；独立DSP被集成或取消的情况应降低此比例。</x:v>
      </x:c>
    </x:row>
    <x:row r="31" ht="24" customHeight="1">
      <x:c r="A31" s="2" t="str">
        <x:v>每ASIC单向聚合容量</x:v>
      </x:c>
      <x:c r="B31" s="11" t="n">
        <x:v>51.2</x:v>
      </x:c>
      <x:c r="C31" s="2" t="str">
        <x:v>Tb/s</x:v>
      </x:c>
      <x:c r="D31" s="2"/>
      <x:c r="E31" s="2" t="str">
        <x:v>演示容量：64×800G=51.2T；非具体SKU接口保证。</x:v>
      </x:c>
    </x:row>
    <x:row r="32" ht="24" customHeight="1">
      <x:c r="A32" s="2"/>
      <x:c r="B32" s="2"/>
      <x:c r="C32" s="2"/>
      <x:c r="D32" s="2"/>
      <x:c r="E32" s="2"/>
    </x:row>
    <x:row r="33" ht="28" customHeight="1">
      <x:c r="A33" s="5" t="str">
        <x:v>计算过程</x:v>
      </x:c>
      <x:c r="B33" s="5" t="str">
        <x:v>公式结果</x:v>
      </x:c>
      <x:c r="C33" s="5" t="str">
        <x:v>单位</x:v>
      </x:c>
      <x:c r="D33" s="2"/>
      <x:c r="E33" s="2" t="str">
        <x:v>计算说明</x:v>
      </x:c>
    </x:row>
    <x:row r="34" ht="24" customHeight="1">
      <x:c r="A34" s="2" t="str">
        <x:v>每平面Leaf数量</x:v>
      </x:c>
      <x:c r="B34" s="15" t="n">
        <x:f>IF(OR(COUNT(B14:B15)&lt;&gt;2,B14&lt;0,B15&lt;=0,MOD(B14,1)&lt;&gt;0,MOD(B15,1)&lt;&gt;0),NA(),ROUNDUP(B14/B15,0))</x:f>
        <x:v>64</x:v>
      </x:c>
      <x:c r="C34" s="2" t="str">
        <x:v>台</x:v>
      </x:c>
      <x:c r="D34" s="2"/>
      <x:c r="E34" s="2" t="str">
        <x:v>端点数÷下联口向上取整。</x:v>
      </x:c>
    </x:row>
    <x:row r="35" ht="24" customHeight="1">
      <x:c r="A35" s="2" t="str">
        <x:v>每平面Spine数量</x:v>
      </x:c>
      <x:c r="B35" s="15" t="n">
        <x:f>IF(OR(COUNT(B14,B16)&lt;&gt;2,B16&lt;=0,MOD(B16,1)&lt;&gt;0),NA(),IF(B14=0,0,B16))</x:f>
        <x:v>32</x:v>
      </x:c>
      <x:c r="C35" s="2" t="str">
        <x:v>台</x:v>
      </x:c>
      <x:c r="D35" s="2"/>
      <x:c r="E35" s="2" t="str">
        <x:v>默认每Leaf与每Spine一条链路。零端点不买Spine。</x:v>
      </x:c>
    </x:row>
    <x:row r="36" ht="24" customHeight="1">
      <x:c r="A36" s="2" t="str">
        <x:v>全部平面交换机数量</x:v>
      </x:c>
      <x:c r="B36" s="15" t="n">
        <x:f>IF(OR(COUNT(B17:B20,B31)&lt;&gt;5,B17&lt;=0,B18&lt;=0,B19&lt;1,B20&lt;1,B31&lt;=0,MOD(B17,1)&lt;&gt;0,MOD(B19,1)&lt;&gt;0,MOD(B20,1)&lt;&gt;0,B34&gt;B17,B15+B16&gt;B17,MAX(B15+B16,B34)*B18/1000&gt;B31*B20),NA(),(B34+B35)*B19)</x:f>
        <x:v>96</x:v>
      </x:c>
      <x:c r="C36" s="2" t="str">
        <x:v>台</x:v>
      </x:c>
      <x:c r="D36" s="2"/>
      <x:c r="E36" s="2" t="str">
        <x:v>检查Spine可接Leaf数、Leaf端口总数和芯片容量。</x:v>
      </x:c>
    </x:row>
    <x:row r="37" ht="24" customHeight="1">
      <x:c r="A37" s="2" t="str">
        <x:v>每单元主交换ASIC</x:v>
      </x:c>
      <x:c r="B37" s="15" t="n">
        <x:f>B36*B20</x:f>
        <x:v>96</x:v>
      </x:c>
      <x:c r="C37" s="2" t="str">
        <x:v>颗</x:v>
      </x:c>
      <x:c r="D37" s="2"/>
      <x:c r="E37" s="2" t="str">
        <x:v>两层设备×每台ASIC；拓扑无效时显示#N/A。</x:v>
      </x:c>
    </x:row>
    <x:row r="38" ht="24" customHeight="1">
      <x:c r="A38" s="2" t="str">
        <x:v>年度主交换ASIC含备件</x:v>
      </x:c>
      <x:c r="B38" s="14" t="n">
        <x:f>IF(OR(COUNT(B22,B26)&lt;&gt;2,B22&lt;0,MOD(B22,1)&lt;&gt;0,B26&lt;0,B26&gt;1),NA(),B37*B22*(1+B26))</x:f>
        <x:v>9600</x:v>
      </x:c>
      <x:c r="C38" s="2" t="str">
        <x:v>颗</x:v>
      </x:c>
      <x:c r="D38" s="2"/>
      <x:c r="E38" s="2" t="str">
        <x:v>选定分组的年度需求，未做供应链跨年库存调整。</x:v>
      </x:c>
    </x:row>
    <x:row r="39" ht="24" customHeight="1">
      <x:c r="A39" s="2" t="str">
        <x:v>年度merchant ASIC收入</x:v>
      </x:c>
      <x:c r="B39" s="16" t="n">
        <x:f>IF(OR(COUNT(B21,B23)&lt;&gt;2,B21&lt;=0,B23&lt;0,B23&gt;1),NA(),B38*B23*B21)</x:f>
        <x:v>26880000</x:v>
      </x:c>
      <x:c r="C39" s="2" t="str">
        <x:v>美元</x:v>
      </x:c>
      <x:c r="D39" s="2"/>
      <x:c r="E39" s="2" t="str">
        <x:v>同构/同价演示；正式模型按代际、客户分别计算。</x:v>
      </x:c>
    </x:row>
    <x:row r="40" ht="24" customHeight="1">
      <x:c r="A40" s="2" t="str">
        <x:v>技术可服务市场SAM</x:v>
      </x:c>
      <x:c r="B40" s="16" t="n">
        <x:f>IF(OR(COUNT(B24)&lt;&gt;1,B24&lt;0,B24&gt;1),NA(),B39*B24)</x:f>
        <x:v>16128000</x:v>
      </x:c>
      <x:c r="C40" s="2" t="str">
        <x:v>美元</x:v>
      </x:c>
      <x:c r="D40" s="2"/>
      <x:c r="E40" s="2" t="str">
        <x:v>技术覆盖与地域/供货时间筛选。</x:v>
      </x:c>
    </x:row>
    <x:row r="41" ht="24" customHeight="1">
      <x:c r="A41" s="2" t="str">
        <x:v>可争取收入演示</x:v>
      </x:c>
      <x:c r="B41" s="16" t="n">
        <x:f>IF(OR(COUNT(B25)&lt;&gt;1,B25&lt;0,B25&gt;1),NA(),B40*B25)</x:f>
        <x:v>3225600</x:v>
      </x:c>
      <x:c r="C41" s="2" t="str">
        <x:v>美元</x:v>
      </x:c>
      <x:c r="D41" s="2"/>
      <x:c r="E41" s="2" t="str">
        <x:v>正式预测需逐客户项目证据，不能直接沿用本比例。</x:v>
      </x:c>
    </x:row>
    <x:row r="42" ht="24" customHeight="1">
      <x:c r="A42" s="2" t="str">
        <x:v>每单元服务器物理链路</x:v>
      </x:c>
      <x:c r="B42" s="15" t="n">
        <x:f>IF(COUNT(B14,B19)&lt;&gt;2,NA(),B14*B19)</x:f>
        <x:v>2048</x:v>
      </x:c>
      <x:c r="C42" s="2" t="str">
        <x:v>条</x:v>
      </x:c>
      <x:c r="D42" s="2"/>
      <x:c r="E42" s="2" t="str">
        <x:v>每端点每平面一条完整连接。</x:v>
      </x:c>
    </x:row>
    <x:row r="43" ht="24" customHeight="1">
      <x:c r="A43" s="2" t="str">
        <x:v>每单元Leaf与Spine链路</x:v>
      </x:c>
      <x:c r="B43" s="15" t="n">
        <x:f>B34*B35*B19</x:f>
        <x:v>2048</x:v>
      </x:c>
      <x:c r="C43" s="2" t="str">
        <x:v>条</x:v>
      </x:c>
      <x:c r="D43" s="2"/>
      <x:c r="E43" s="2" t="str">
        <x:v>每Leaf与每Spine一条；不重复数两端。</x:v>
      </x:c>
    </x:row>
    <x:row r="44" ht="24" customHeight="1">
      <x:c r="A44" s="2" t="str">
        <x:v>每单元物理链路合计</x:v>
      </x:c>
      <x:c r="B44" s="15" t="n">
        <x:f>B42+B43</x:f>
        <x:v>4096</x:v>
      </x:c>
      <x:c r="C44" s="2" t="str">
        <x:v>条</x:v>
      </x:c>
      <x:c r="D44" s="2"/>
      <x:c r="E44" s="2" t="str">
        <x:v>服务器链路+网络层间链路。</x:v>
      </x:c>
    </x:row>
    <x:row r="45" ht="24" customHeight="1">
      <x:c r="A45" s="2" t="str">
        <x:v>每单元交换机侧已用端口</x:v>
      </x:c>
      <x:c r="B45" s="15" t="n">
        <x:f>B42+2*B43</x:f>
        <x:v>6144</x:v>
      </x:c>
      <x:c r="C45" s="2" t="str">
        <x:v>个</x:v>
      </x:c>
      <x:c r="D45" s="2"/>
      <x:c r="E45" s="2" t="str">
        <x:v>服务器连接只占一个交换端口；层间链路占两个。</x:v>
      </x:c>
    </x:row>
    <x:row r="46" ht="24" customHeight="1">
      <x:c r="A46" s="2" t="str">
        <x:v>每单元光模块数量</x:v>
      </x:c>
      <x:c r="B46" s="14" t="n">
        <x:f>IF(OR(COUNT(B27:B28)&lt;&gt;2,MIN(B27:B28)&lt;0,MAX(B27:B28)&gt;1),NA(),2*(B42*B27+B43*B28))</x:f>
        <x:v>8192</x:v>
      </x:c>
      <x:c r="C46" s="2" t="str">
        <x:v>只</x:v>
      </x:c>
      <x:c r="D46" s="2"/>
      <x:c r="E46" s="2" t="str">
        <x:v>每条光链路两端各一只；含服务器侧。</x:v>
      </x:c>
    </x:row>
    <x:row r="47" ht="24" customHeight="1">
      <x:c r="A47" s="2" t="str">
        <x:v>每单元独立光DSP数量</x:v>
      </x:c>
      <x:c r="B47" s="14" t="n">
        <x:f>IF(OR(COUNT(B29:B30)&lt;&gt;2,B29&lt;1,MOD(B29,1)&lt;&gt;0,B30&lt;0,B30&gt;1),NA(),B46*B29*B30)</x:f>
        <x:v>8192</x:v>
      </x:c>
      <x:c r="C47" s="2" t="str">
        <x:v>颗</x:v>
      </x:c>
      <x:c r="D47" s="2"/>
      <x:c r="E47" s="2" t="str">
        <x:v>单列互连数量，不加入交换ASIC收入。</x:v>
      </x:c>
    </x:row>
    <x:row r="48" ht="24" customHeight="1">
      <x:c r="A48" s="2" t="str">
        <x:v>下联与上联带宽比</x:v>
      </x:c>
      <x:c r="B48" s="17" t="n">
        <x:f>B15/B16</x:f>
        <x:v>1</x:v>
      </x:c>
      <x:c r="C48" s="2" t="str">
        <x:v>倍</x:v>
      </x:c>
      <x:c r="D48" s="2"/>
      <x:c r="E48" s="2" t="str">
        <x:v>同速率前提；大于1表示超售，小于1表示上联富余。</x:v>
      </x:c>
    </x:row>
    <x:row r="49" ht="24" customHeight="1">
      <x:c r="A49" s="2"/>
      <x:c r="B49" s="2"/>
      <x:c r="C49" s="2"/>
      <x:c r="D49" s="2"/>
      <x:c r="E49" s="2"/>
    </x:row>
    <x:row r="50" ht="28" customHeight="1">
      <x:c r="A50" s="5" t="str">
        <x:v>检查与使用边界</x:v>
      </x:c>
      <x:c r="B50" s="5"/>
      <x:c r="C50" s="5"/>
      <x:c r="D50" s="2"/>
      <x:c r="E50" s="2"/>
    </x:row>
    <x:row r="51" ht="24" customHeight="1">
      <x:c r="A51" s="2" t="str">
        <x:v>Spine端口余量</x:v>
      </x:c>
      <x:c r="B51" s="2" t="n">
        <x:f>B17-B34</x:f>
        <x:v>0</x:v>
      </x:c>
      <x:c r="C51" s="2" t="str">
        <x:v>口/台</x:v>
      </x:c>
      <x:c r="D51" s="2"/>
      <x:c r="E51" s="2" t="str">
        <x:v>负数表明本两层完整连接拓扑不可行。</x:v>
      </x:c>
    </x:row>
    <x:row r="52" ht="24" customHeight="1">
      <x:c r="A52" s="2" t="str">
        <x:v>Leaf端口余量</x:v>
      </x:c>
      <x:c r="B52" s="2" t="n">
        <x:f>B17-B15-B16</x:f>
        <x:v>0</x:v>
      </x:c>
      <x:c r="C52" s="2" t="str">
        <x:v>口/台</x:v>
      </x:c>
      <x:c r="D52" s="2"/>
      <x:c r="E52" s="2"/>
    </x:row>
    <x:row r="53" ht="24" customHeight="1">
      <x:c r="A53" s="2" t="str">
        <x:v>默认无第三层、无共网、无breakout、无混合速率。</x:v>
      </x:c>
      <x:c r="B53" s="2"/>
      <x:c r="C53" s="2"/>
      <x:c r="D53" s="2"/>
      <x:c r="E53" s="2"/>
    </x:row>
    <x:row r="54" ht="24" customHeight="1">
      <x:c r="A54" s="2" t="str">
        <x:v>端口/容量约束不满足或输入缺失时，相关收入显示#N/A。</x:v>
      </x:c>
      <x:c r="B54" s="2"/>
      <x:c r="C54" s="2"/>
      <x:c r="D54" s="2"/>
      <x:c r="E54" s="2"/>
    </x:row>
    <x:row r="55" ht="24" customHeight="1">
      <x:c r="A55" s="2" t="str">
        <x:v>检查行只观察模型；计算结果不依赖检查行。</x:v>
      </x:c>
      <x:c r="B55" s="2"/>
      <x:c r="C55" s="2"/>
      <x:c r="D55" s="2"/>
      <x:c r="E55" s="2"/>
    </x:row>
    <x:row r="56" ht="24" customHeight="1">
      <x:c r="A56" s="2" t="str">
        <x:v>同比、全球TAM、预测年份需另采数据，不能由默认值推断。</x:v>
      </x:c>
      <x:c r="B56" s="2"/>
      <x:c r="C56" s="2"/>
      <x:c r="D56" s="2"/>
      <x:c r="E56" s="2"/>
    </x:row>
    <x:row r="57" ht="24" customHeight="1">
      <x:c r="A57" s="2" t="str">
        <x:v>实际芯片发货还需调整库存与系统交付的时间差。</x:v>
      </x:c>
      <x:c r="B57" s="2"/>
      <x:c r="C57" s="2"/>
      <x:c r="D57" s="2"/>
      <x:c r="E57" s="2"/>
    </x:row>
    <x:row r="58" ht="24" customHeight="1">
      <x:c r="A58" s="2"/>
      <x:c r="B58" s="2"/>
      <x:c r="C58" s="2"/>
      <x:c r="D58" s="2"/>
      <x:c r="E58" s="2"/>
    </x:row>
    <x:row r="59" ht="24" customHeight="1">
      <x:c r="A59" s="2"/>
      <x:c r="B59" s="2"/>
      <x:c r="C59" s="2"/>
      <x:c r="D59" s="2"/>
      <x:c r="E59" s="2"/>
    </x:row>
  </x:sheetData>
  <x:conditionalFormatting sqref="B51:B52">
    <x:cfRule type="cellIs" dxfId="0" priority="1" operator="lessThan">
      <x:formula>0</x:formula>
    </x:cfRule>
  </x:conditionalFormatting>
  <x:conditionalFormatting sqref="B6:B48">
    <x:cfRule type="containsErrors" dxfId="1" priority="2"/>
  </x:conditionalFormatting>
  <x:dataValidations count="18">
    <x:dataValidation type="decimal" operator="between" sqref="B23">
      <x:formula1>0</x:formula1>
      <x:formula2>1</x:formula2>
    </x:dataValidation>
    <x:dataValidation type="decimal" operator="between" sqref="B24">
      <x:formula1>0</x:formula1>
      <x:formula2>1</x:formula2>
    </x:dataValidation>
    <x:dataValidation type="decimal" operator="between" sqref="B25">
      <x:formula1>0</x:formula1>
      <x:formula2>1</x:formula2>
    </x:dataValidation>
    <x:dataValidation type="decimal" operator="between" sqref="B26">
      <x:formula1>0</x:formula1>
      <x:formula2>1</x:formula2>
    </x:dataValidation>
    <x:dataValidation type="decimal" operator="between" sqref="B27">
      <x:formula1>0</x:formula1>
      <x:formula2>1</x:formula2>
    </x:dataValidation>
    <x:dataValidation type="decimal" operator="between" sqref="B28">
      <x:formula1>0</x:formula1>
      <x:formula2>1</x:formula2>
    </x:dataValidation>
    <x:dataValidation type="decimal" operator="between" sqref="B30">
      <x:formula1>0</x:formula1>
      <x:formula2>1</x:formula2>
    </x:dataValidation>
    <x:dataValidation type="whole" operator="between" sqref="B14">
      <x:formula1>0</x:formula1>
      <x:formula2>1000000000</x:formula2>
    </x:dataValidation>
    <x:dataValidation type="whole" operator="between" sqref="B22">
      <x:formula1>0</x:formula1>
      <x:formula2>1000000000</x:formula2>
    </x:dataValidation>
    <x:dataValidation type="whole" operator="between" sqref="B15">
      <x:formula1>1</x:formula1>
      <x:formula2>1000000</x:formula2>
    </x:dataValidation>
    <x:dataValidation type="whole" operator="between" sqref="B16">
      <x:formula1>1</x:formula1>
      <x:formula2>1000000</x:formula2>
    </x:dataValidation>
    <x:dataValidation type="whole" operator="between" sqref="B17">
      <x:formula1>1</x:formula1>
      <x:formula2>1000000</x:formula2>
    </x:dataValidation>
    <x:dataValidation type="whole" operator="between" sqref="B18">
      <x:formula1>1</x:formula1>
      <x:formula2>1000000</x:formula2>
    </x:dataValidation>
    <x:dataValidation type="whole" operator="between" sqref="B19">
      <x:formula1>1</x:formula1>
      <x:formula2>1000000</x:formula2>
    </x:dataValidation>
    <x:dataValidation type="whole" operator="between" sqref="B20">
      <x:formula1>1</x:formula1>
      <x:formula2>1000000</x:formula2>
    </x:dataValidation>
    <x:dataValidation type="whole" operator="between" sqref="B29">
      <x:formula1>1</x:formula1>
      <x:formula2>1000000</x:formula2>
    </x:dataValidation>
    <x:dataValidation type="decimal" operator="between" sqref="B21">
      <x:formula1>0.001</x:formula1>
      <x:formula2>10000000</x:formula2>
    </x:dataValidation>
    <x:dataValidation type="decimal" operator="between" sqref="B31">
      <x:formula1>0.001</x:formula1>
      <x:formula2>10000000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2CBD4"/>
  </x:sheetPr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2" hidden="0" customWidth="1"/>
    <x:col min="4" max="4" width="3" hidden="0" customWidth="1"/>
    <x:col min="5" max="5" width="70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公开市场锚点</x:v>
      </x:c>
      <x:c r="B2" s="2"/>
      <x:c r="C2" s="2"/>
      <x:c r="D2" s="2"/>
      <x:c r="E2" s="2"/>
    </x:row>
    <x:row r="3" ht="24" customHeight="1">
      <x:c r="A3" s="2" t="str">
        <x:v>核查日2026-09-19；这些事实不会自动填入演示假设。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28" customHeight="1">
      <x:c r="A5" s="5" t="str">
        <x:v>指标</x:v>
      </x:c>
      <x:c r="B5" s="5" t="str">
        <x:v>数值</x:v>
      </x:c>
      <x:c r="C5" s="5" t="str">
        <x:v>单位</x:v>
      </x:c>
      <x:c r="D5" s="2"/>
      <x:c r="E5" s="2" t="str">
        <x:v>时间和口径</x:v>
      </x:c>
    </x:row>
    <x:row r="6" ht="24" customHeight="1">
      <x:c r="A6" s="2" t="str">
        <x:v>Marvell年度收入</x:v>
      </x:c>
      <x:c r="B6" s="18" t="n">
        <x:v>8194.6</x:v>
      </x:c>
      <x:c r="C6" s="2" t="str">
        <x:v>百万美元</x:v>
      </x:c>
      <x:c r="D6" s="2"/>
      <x:c r="E6" s="2" t="str">
        <x:v>FY2026，止2026-01-31，公司全部产品。</x:v>
      </x:c>
    </x:row>
    <x:row r="7" ht="24" customHeight="1">
      <x:c r="A7" s="2" t="str">
        <x:v>Marvell年度数据中心收入</x:v>
      </x:c>
      <x:c r="B7" s="18" t="n">
        <x:v>6100.3</x:v>
      </x:c>
      <x:c r="C7" s="2" t="str">
        <x:v>百万美元</x:v>
      </x:c>
      <x:c r="D7" s="2"/>
      <x:c r="E7" s="2" t="str">
        <x:v>FY2026，含多种数据中心产品。</x:v>
      </x:c>
    </x:row>
    <x:row r="8" ht="24" customHeight="1">
      <x:c r="A8" s="2" t="str">
        <x:v>Marvell季度收入</x:v>
      </x:c>
      <x:c r="B8" s="18" t="n">
        <x:v>2739.3</x:v>
      </x:c>
      <x:c r="C8" s="2" t="str">
        <x:v>百万美元</x:v>
      </x:c>
      <x:c r="D8" s="2"/>
      <x:c r="E8" s="2" t="str">
        <x:v>FY2027 Q2，止2026-08-01，公司全部产品。</x:v>
      </x:c>
    </x:row>
    <x:row r="9" ht="24" customHeight="1">
      <x:c r="A9" s="2" t="str">
        <x:v>Marvell季度数据中心收入</x:v>
      </x:c>
      <x:c r="B9" s="18" t="n">
        <x:v>2171.5</x:v>
      </x:c>
      <x:c r="C9" s="2" t="str">
        <x:v>百万美元</x:v>
      </x:c>
      <x:c r="D9" s="2"/>
      <x:c r="E9" s="2" t="str">
        <x:v>FY2027 Q2；不能当作交换ASIC收入。</x:v>
      </x:c>
    </x:row>
    <x:row r="10" ht="24" customHeight="1">
      <x:c r="A10" s="2" t="str">
        <x:v>IDC数据中心以太网整机</x:v>
      </x:c>
      <x:c r="B10" s="18" t="n">
        <x:v>32.5</x:v>
      </x:c>
      <x:c r="C10" s="2" t="str">
        <x:v>十亿美元</x:v>
      </x:c>
      <x:c r="D10" s="2"/>
      <x:c r="E10" s="2" t="str">
        <x:v>2025自然年全球，实际市场估计。</x:v>
      </x:c>
    </x:row>
    <x:row r="11" ht="24" customHeight="1">
      <x:c r="A11" s="2" t="str">
        <x:v>IDC数据中心以太网整机</x:v>
      </x:c>
      <x:c r="B11" s="18" t="n">
        <x:v>12.3</x:v>
      </x:c>
      <x:c r="C11" s="2" t="str">
        <x:v>十亿美元</x:v>
      </x:c>
      <x:c r="D11" s="2"/>
      <x:c r="E11" s="2" t="str">
        <x:v>2026 Q2全球单季，实际市场估计。</x:v>
      </x:c>
    </x:row>
    <x:row r="12" ht="24" customHeight="1">
      <x:c r="A12" s="2" t="str">
        <x:v>IDC 800G收入占比</x:v>
      </x:c>
      <x:c r="B12" s="19" t="n">
        <x:v>0.412</x:v>
      </x:c>
      <x:c r="C12" s="2" t="str">
        <x:v>比例</x:v>
      </x:c>
      <x:c r="D12" s="2"/>
      <x:c r="E12" s="2" t="str">
        <x:v>2026 Q2上述数据中心整机收入，不是端口量占比。</x:v>
      </x:c>
    </x:row>
    <x:row r="13" ht="24" customHeight="1">
      <x:c r="A13" s="2"/>
      <x:c r="B13" s="2"/>
      <x:c r="C13" s="2"/>
      <x:c r="D13" s="2"/>
      <x:c r="E13" s="2"/>
    </x:row>
    <x:row r="14" ht="24" customHeight="1">
      <x:c r="A14" s="2" t="str">
        <x:v>来源链接</x:v>
      </x:c>
      <x:c r="B14" s="2"/>
      <x:c r="C14" s="2"/>
      <x:c r="D14" s="2"/>
      <x:c r="E14" s="2"/>
    </x:row>
    <x:row r="15" ht="24" customHeight="1">
      <x:c r="A15" s="2" t="str">
        <x:v>S01 Marvell FY2026 Form 10-K</x:v>
      </x:c>
      <x:c r="B15" s="2"/>
      <x:c r="C15" s="2"/>
      <x:c r="D15" s="2"/>
      <x:c r="E15" s="2"/>
    </x:row>
    <x:row r="16" ht="24" customHeight="1">
      <x:c r="A16" s="2" t="str">
        <x:v>S03 Marvell FY2027 第二季度业绩</x:v>
      </x:c>
      <x:c r="B16" s="2"/>
      <x:c r="C16" s="2"/>
      <x:c r="D16" s="2"/>
      <x:c r="E16" s="2"/>
    </x:row>
    <x:row r="17" ht="24" customHeight="1">
      <x:c r="A17" s="2" t="str">
        <x:v>S17 IDC 2025全年及第四季度以太网交换市场</x:v>
      </x:c>
      <x:c r="B17" s="2"/>
      <x:c r="C17" s="2"/>
      <x:c r="D17" s="2"/>
      <x:c r="E17" s="2"/>
    </x:row>
    <x:row r="18" ht="24" customHeight="1">
      <x:c r="A18" s="2" t="str">
        <x:v>S18 IDC 2026第二季度以太网交换市场</x:v>
      </x:c>
      <x:c r="B18" s="2"/>
      <x:c r="C18" s="2"/>
      <x:c r="D18" s="2"/>
      <x:c r="E18" s="2"/>
    </x:row>
    <x:row r="19" ht="24" customHeight="1">
      <x:c r="A19" s="2"/>
      <x:c r="B19" s="2"/>
      <x:c r="C19" s="2"/>
      <x:c r="D19" s="2"/>
      <x:c r="E19" s="2"/>
    </x:row>
    <x:row r="20" ht="38" customHeight="1">
      <x:c r="A20" s="21" t="str">
        <x:v>S01 https://investor.marvell.com/sec-filings/all-sec-filings/content/0001835632-26-000011/mrvl-20260131.htm</x:v>
      </x:c>
      <x:c r="B20" s="21"/>
      <x:c r="C20" s="21"/>
      <x:c r="D20" s="21"/>
      <x:c r="E20" s="21"/>
    </x:row>
    <x:row r="21" ht="38" customHeight="1">
      <x:c r="A21" s="21" t="str">
        <x:v>S03 https://investor.marvell.com/news-events/press-releases/detail/1031/marvell-technology-inc-reports-second-quarter-of-fiscal-year-2027-financial-results</x:v>
      </x:c>
      <x:c r="B21" s="21"/>
      <x:c r="C21" s="21"/>
      <x:c r="D21" s="21"/>
      <x:c r="E21" s="21"/>
    </x:row>
    <x:row r="22" ht="38" customHeight="1">
      <x:c r="A22" s="21" t="str">
        <x:v>S17 https://www.idc.com/resource-center/blog/ethernet-switch-market-size-and-growth-datacenter-segment-surges-60-in-q4-as-ai-workloads-expand/</x:v>
      </x:c>
      <x:c r="B22" s="21"/>
      <x:c r="C22" s="21"/>
      <x:c r="D22" s="21"/>
      <x:c r="E22" s="21"/>
    </x:row>
    <x:row r="23" ht="38" customHeight="1">
      <x:c r="A23" s="23" t="str">
        <x:v>S18 https://www.idc.com/resource-center/blog/ethernet-switch-market-surges-43-4-to-18-9b-in-2q26-as-ai-infrastructure-demand-drives-record-datacenter-spending/</x:v>
      </x:c>
      <x:c r="B23" s="23"/>
      <x:c r="C23" s="23"/>
      <x:c r="D23" s="23"/>
      <x:c r="E23" s="23"/>
    </x:row>
  </x:sheetData>
  <x:mergeCells>
    <x:mergeCell ref="A20:E20"/>
    <x:mergeCell ref="A21:E21"/>
    <x:mergeCell ref="A22:E22"/>
    <x:mergeCell ref="A23:E23"/>
  </x:mergeCells>
  <x:pageMargins left="0.7" right="0.7" top="0.75" bottom="0.75" header="0.3" footer="0.3"/>
</x:worksheet>
</file>